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ynea/Documents/GitHub/BGOS-JOIS-Data/jois2024/"/>
    </mc:Choice>
  </mc:AlternateContent>
  <xr:revisionPtr revIDLastSave="0" documentId="13_ncr:1_{6296E80D-E55C-8E45-AFB0-E837C4810848}" xr6:coauthVersionLast="47" xr6:coauthVersionMax="47" xr10:uidLastSave="{00000000-0000-0000-0000-000000000000}"/>
  <bookViews>
    <workbookView xWindow="0" yWindow="500" windowWidth="25600" windowHeight="16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E26" i="1"/>
  <c r="F26" i="1"/>
  <c r="E27" i="1"/>
  <c r="F27" i="1"/>
  <c r="E28" i="1"/>
  <c r="F28" i="1"/>
  <c r="E29" i="1"/>
  <c r="F29" i="1"/>
  <c r="E30" i="1"/>
  <c r="F30" i="1"/>
  <c r="E31" i="1"/>
  <c r="F31" i="1"/>
  <c r="E32" i="1"/>
  <c r="F32" i="1"/>
  <c r="E33" i="1"/>
  <c r="F33" i="1"/>
  <c r="E34" i="1"/>
  <c r="F34" i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F41" i="1"/>
  <c r="E42" i="1"/>
  <c r="F42" i="1"/>
  <c r="E43" i="1"/>
  <c r="F43" i="1"/>
  <c r="E44" i="1"/>
  <c r="F44" i="1"/>
  <c r="E45" i="1"/>
  <c r="F45" i="1"/>
  <c r="E46" i="1"/>
  <c r="F46" i="1"/>
  <c r="E47" i="1"/>
  <c r="F47" i="1"/>
  <c r="E48" i="1"/>
  <c r="F48" i="1"/>
  <c r="E49" i="1"/>
  <c r="F49" i="1"/>
  <c r="E50" i="1"/>
  <c r="F50" i="1"/>
  <c r="E51" i="1"/>
  <c r="F51" i="1"/>
  <c r="E52" i="1"/>
  <c r="F52" i="1"/>
  <c r="E53" i="1"/>
  <c r="F53" i="1"/>
  <c r="E54" i="1"/>
  <c r="F54" i="1"/>
  <c r="E55" i="1"/>
  <c r="F55" i="1"/>
  <c r="F2" i="1"/>
  <c r="E2" i="1"/>
</calcChain>
</file>

<file path=xl/sharedStrings.xml><?xml version="1.0" encoding="utf-8"?>
<sst xmlns="http://schemas.openxmlformats.org/spreadsheetml/2006/main" count="184" uniqueCount="31">
  <si>
    <t>Cruise</t>
  </si>
  <si>
    <t>J24</t>
  </si>
  <si>
    <t>sample_number</t>
  </si>
  <si>
    <t>Station</t>
  </si>
  <si>
    <t>BL4</t>
  </si>
  <si>
    <t>CB10</t>
  </si>
  <si>
    <t>CB5</t>
  </si>
  <si>
    <t>Stn A</t>
  </si>
  <si>
    <t>Latitude_degN</t>
  </si>
  <si>
    <t>Date_Time</t>
  </si>
  <si>
    <t>Sep 17 2024 08:35:41</t>
  </si>
  <si>
    <t>Sep 09 2024 15:33:02</t>
  </si>
  <si>
    <t>Sep 15 2024 08:11:13</t>
  </si>
  <si>
    <t>Sep 18 2024 12:50:04</t>
  </si>
  <si>
    <t>Longitude__W_</t>
  </si>
  <si>
    <t>Longitude_degE</t>
  </si>
  <si>
    <t>bottomDepth</t>
  </si>
  <si>
    <t>Pressure_dbar</t>
  </si>
  <si>
    <t>Temperature_degC</t>
  </si>
  <si>
    <t>Salinity</t>
  </si>
  <si>
    <t>I129_at_kg</t>
  </si>
  <si>
    <t>unc_I129_at_kg</t>
  </si>
  <si>
    <t>Depth</t>
  </si>
  <si>
    <t>Sigma0</t>
  </si>
  <si>
    <t>Insitu_Density</t>
  </si>
  <si>
    <t>I129_at_l_E</t>
  </si>
  <si>
    <t>unc_I129_at_l_E</t>
  </si>
  <si>
    <t>I129_at_l</t>
  </si>
  <si>
    <t>unc_I129_at_l</t>
  </si>
  <si>
    <t>Date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</si>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</sst>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4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5"/>
  <sheetViews>
    <sheetView tabSelected="1" workbookViewId="0">
      <selection activeCell="I56" sqref="A56:XFD56"/>
    </sheetView>
  </sheetViews>
  <sheetFormatPr baseColWidth="10" defaultColWidth="8.83203125" defaultRowHeight="15" x14ac:dyDescent="0.2"/>
  <cols>
    <col min="1" max="1" width="6.6640625" customWidth="1"/>
    <col min="2" max="2" width="15.5" customWidth="1"/>
    <col min="3" max="3" width="7.5" customWidth="1"/>
    <col min="4" max="6" width="18.83203125" customWidth="1"/>
    <col min="7" max="7" width="14.1640625" customWidth="1"/>
    <col min="8" max="8" width="14.83203125" customWidth="1"/>
    <col min="9" max="9" width="15.33203125" customWidth="1"/>
    <col min="10" max="10" width="13.1640625" customWidth="1"/>
    <col min="11" max="11" width="13.83203125" customWidth="1"/>
    <col min="12" max="12" width="18.1640625" customWidth="1"/>
    <col min="13" max="13" width="7.6640625" customWidth="1"/>
    <col min="14" max="14" width="11.6640625" customWidth="1"/>
    <col min="15" max="15" width="14.5" customWidth="1"/>
    <col min="16" max="17" width="11.6640625" customWidth="1"/>
    <col min="18" max="18" width="13.83203125" customWidth="1"/>
    <col min="19" max="19" width="11.6640625" customWidth="1"/>
    <col min="20" max="20" width="15.1640625" customWidth="1"/>
    <col min="21" max="21" width="13.6640625" customWidth="1"/>
    <col min="22" max="22" width="15.6640625" customWidth="1"/>
  </cols>
  <sheetData>
    <row r="1" spans="1:22" x14ac:dyDescent="0.2">
      <c r="A1" t="s">
        <v>0</v>
      </c>
      <c r="B1" s="1" t="s">
        <v>2</v>
      </c>
      <c r="C1" t="s">
        <v>3</v>
      </c>
      <c r="D1" t="s">
        <v>9</v>
      </c>
      <c r="E1" s="1" t="s">
        <v>29</v>
      </c>
      <c r="F1" s="1" t="s">
        <v>30</v>
      </c>
      <c r="G1" t="s">
        <v>8</v>
      </c>
      <c r="H1" t="s">
        <v>14</v>
      </c>
      <c r="I1" t="s">
        <v>15</v>
      </c>
      <c r="J1" t="s">
        <v>16</v>
      </c>
      <c r="K1" t="s">
        <v>17</v>
      </c>
      <c r="L1" t="s">
        <v>18</v>
      </c>
      <c r="M1" t="s">
        <v>19</v>
      </c>
      <c r="N1" t="s">
        <v>20</v>
      </c>
      <c r="O1" t="s">
        <v>21</v>
      </c>
      <c r="P1" t="s">
        <v>22</v>
      </c>
      <c r="Q1" t="s">
        <v>23</v>
      </c>
      <c r="R1" s="1" t="s">
        <v>24</v>
      </c>
      <c r="S1" s="1" t="s">
        <v>25</v>
      </c>
      <c r="T1" s="1" t="s">
        <v>26</v>
      </c>
      <c r="U1" s="1" t="s">
        <v>27</v>
      </c>
      <c r="V1" t="s">
        <v>28</v>
      </c>
    </row>
    <row r="2" spans="1:22" x14ac:dyDescent="0.2">
      <c r="A2" t="s">
        <v>1</v>
      </c>
      <c r="B2">
        <v>843</v>
      </c>
      <c r="C2" t="s">
        <v>4</v>
      </c>
      <c r="D2" t="s">
        <v>10</v>
      </c>
      <c r="E2" s="2">
        <f>DATEVALUE(MID(D2,5,2)&amp;"-"&amp;LEFT(D2,3)&amp;"-"&amp;MID(D2,8,4))</f>
        <v>45552</v>
      </c>
      <c r="F2" s="3">
        <f>TIMEVALUE(MID(D2,13,8))</f>
        <v>0.35811342592592593</v>
      </c>
      <c r="G2">
        <v>71.523666666666671</v>
      </c>
      <c r="H2">
        <v>151.58216666666667</v>
      </c>
      <c r="I2">
        <v>-151.58216666666667</v>
      </c>
      <c r="J2">
        <v>1157</v>
      </c>
      <c r="K2">
        <v>5.83</v>
      </c>
      <c r="L2">
        <v>5.1424000000000003</v>
      </c>
      <c r="M2">
        <v>29.332899999999999</v>
      </c>
      <c r="N2">
        <v>30019217.201271776</v>
      </c>
      <c r="O2">
        <v>49.905860348808503</v>
      </c>
      <c r="P2">
        <v>5.770387966791132</v>
      </c>
      <c r="Q2">
        <v>23.173899511859645</v>
      </c>
      <c r="R2">
        <v>1.0232211658491779</v>
      </c>
      <c r="S2">
        <v>30716298.422565002</v>
      </c>
      <c r="T2">
        <v>51.064732608814097</v>
      </c>
      <c r="U2">
        <v>3.0716298422565003</v>
      </c>
      <c r="V2">
        <v>5.1064732608814099E-6</v>
      </c>
    </row>
    <row r="3" spans="1:22" x14ac:dyDescent="0.2">
      <c r="A3" t="s">
        <v>1</v>
      </c>
      <c r="B3">
        <v>841</v>
      </c>
      <c r="C3" t="s">
        <v>4</v>
      </c>
      <c r="D3" t="s">
        <v>10</v>
      </c>
      <c r="E3" s="2">
        <f t="shared" ref="E3:E55" si="0">DATEVALUE(MID(D3,5,2)&amp;"-"&amp;LEFT(D3,3)&amp;"-"&amp;MID(D3,8,4))</f>
        <v>45552</v>
      </c>
      <c r="F3" s="3">
        <f t="shared" ref="F3:F55" si="1">TIMEVALUE(MID(D3,13,8))</f>
        <v>0.35811342592592593</v>
      </c>
      <c r="G3">
        <v>71.523666666666671</v>
      </c>
      <c r="H3">
        <v>151.58216666666667</v>
      </c>
      <c r="I3">
        <v>-151.58216666666667</v>
      </c>
      <c r="J3">
        <v>1157</v>
      </c>
      <c r="K3">
        <v>10.351000000000001</v>
      </c>
      <c r="L3">
        <v>4.7266000000000004</v>
      </c>
      <c r="M3">
        <v>29.363299999999999</v>
      </c>
      <c r="N3">
        <v>38663303.874103732</v>
      </c>
      <c r="O3">
        <v>90.942964654818468</v>
      </c>
      <c r="P3">
        <v>10.245048072428759</v>
      </c>
      <c r="Q3">
        <v>23.239854771083628</v>
      </c>
      <c r="R3">
        <v>1.0232872302732721</v>
      </c>
      <c r="S3">
        <v>39563665.134545475</v>
      </c>
      <c r="T3">
        <v>93.060774414469265</v>
      </c>
      <c r="U3">
        <v>3.9563665134545474</v>
      </c>
      <c r="V3">
        <v>9.3060774414469271E-6</v>
      </c>
    </row>
    <row r="4" spans="1:22" x14ac:dyDescent="0.2">
      <c r="A4" t="s">
        <v>1</v>
      </c>
      <c r="B4">
        <v>838</v>
      </c>
      <c r="C4" t="s">
        <v>4</v>
      </c>
      <c r="D4" t="s">
        <v>10</v>
      </c>
      <c r="E4" s="2">
        <f t="shared" si="0"/>
        <v>45552</v>
      </c>
      <c r="F4" s="3">
        <f t="shared" si="1"/>
        <v>0.35811342592592593</v>
      </c>
      <c r="G4">
        <v>71.523666666666671</v>
      </c>
      <c r="H4">
        <v>151.58216666666667</v>
      </c>
      <c r="I4">
        <v>-151.58216666666667</v>
      </c>
      <c r="J4">
        <v>1157</v>
      </c>
      <c r="K4">
        <v>95.86</v>
      </c>
      <c r="L4">
        <v>-1.1396999999999999</v>
      </c>
      <c r="M4">
        <v>32.462400000000002</v>
      </c>
      <c r="N4">
        <v>139054091.14756313</v>
      </c>
      <c r="O4">
        <v>927.35896068094871</v>
      </c>
      <c r="P4">
        <v>94.859107101376381</v>
      </c>
      <c r="Q4">
        <v>26.108213440894588</v>
      </c>
      <c r="R4">
        <v>1.0261570550059032</v>
      </c>
      <c r="S4">
        <v>142691336.6585058</v>
      </c>
      <c r="T4">
        <v>951.61594002569745</v>
      </c>
      <c r="U4">
        <v>14.26913366585058</v>
      </c>
      <c r="V4">
        <v>9.5161594002569739E-5</v>
      </c>
    </row>
    <row r="5" spans="1:22" x14ac:dyDescent="0.2">
      <c r="A5" t="s">
        <v>1</v>
      </c>
      <c r="B5">
        <v>835</v>
      </c>
      <c r="C5" t="s">
        <v>4</v>
      </c>
      <c r="D5" t="s">
        <v>10</v>
      </c>
      <c r="E5" s="2">
        <f t="shared" si="0"/>
        <v>45552</v>
      </c>
      <c r="F5" s="3">
        <f t="shared" si="1"/>
        <v>0.35811342592592593</v>
      </c>
      <c r="G5">
        <v>71.523666666666671</v>
      </c>
      <c r="H5">
        <v>151.58216666666667</v>
      </c>
      <c r="I5">
        <v>-151.58216666666667</v>
      </c>
      <c r="J5">
        <v>1157</v>
      </c>
      <c r="K5">
        <v>144.131</v>
      </c>
      <c r="L5">
        <v>-1.2678</v>
      </c>
      <c r="M5">
        <v>33.226500000000001</v>
      </c>
      <c r="N5">
        <v>537636378.67235625</v>
      </c>
      <c r="O5">
        <v>14768.671077055173</v>
      </c>
      <c r="P5">
        <v>142.60942061244452</v>
      </c>
      <c r="Q5">
        <v>26.733578758452495</v>
      </c>
      <c r="R5">
        <v>1.0267823917284269</v>
      </c>
      <c r="S5">
        <v>552035566.77341211</v>
      </c>
      <c r="T5">
        <v>15164.211411149152</v>
      </c>
      <c r="U5">
        <v>55.203556677341211</v>
      </c>
      <c r="V5">
        <v>1.5164211411149151E-3</v>
      </c>
    </row>
    <row r="6" spans="1:22" x14ac:dyDescent="0.2">
      <c r="A6" t="s">
        <v>1</v>
      </c>
      <c r="B6">
        <v>834</v>
      </c>
      <c r="C6" t="s">
        <v>4</v>
      </c>
      <c r="D6" t="s">
        <v>10</v>
      </c>
      <c r="E6" s="2">
        <f t="shared" si="0"/>
        <v>45552</v>
      </c>
      <c r="F6" s="3">
        <f t="shared" si="1"/>
        <v>0.35811342592592593</v>
      </c>
      <c r="G6">
        <v>71.523666666666671</v>
      </c>
      <c r="H6">
        <v>151.58216666666667</v>
      </c>
      <c r="I6">
        <v>-151.58216666666667</v>
      </c>
      <c r="J6">
        <v>1157</v>
      </c>
      <c r="K6">
        <v>163.804</v>
      </c>
      <c r="L6">
        <v>-0.61599999999999999</v>
      </c>
      <c r="M6">
        <v>34.032400000000003</v>
      </c>
      <c r="N6">
        <v>1872883550.5616565</v>
      </c>
      <c r="O6">
        <v>166811.33552050247</v>
      </c>
      <c r="P6">
        <v>162.06701404800188</v>
      </c>
      <c r="Q6">
        <v>27.361540007259464</v>
      </c>
      <c r="R6">
        <v>1.027410072332634</v>
      </c>
      <c r="S6">
        <v>1924219424.153152</v>
      </c>
      <c r="T6">
        <v>171383.64629302273</v>
      </c>
      <c r="U6">
        <v>192.42194241531519</v>
      </c>
      <c r="V6">
        <v>1.7138364629302273E-2</v>
      </c>
    </row>
    <row r="7" spans="1:22" x14ac:dyDescent="0.2">
      <c r="A7" t="s">
        <v>1</v>
      </c>
      <c r="B7">
        <v>833</v>
      </c>
      <c r="C7" t="s">
        <v>4</v>
      </c>
      <c r="D7" t="s">
        <v>10</v>
      </c>
      <c r="E7" s="2">
        <f t="shared" si="0"/>
        <v>45552</v>
      </c>
      <c r="F7" s="3">
        <f t="shared" si="1"/>
        <v>0.35811342592592593</v>
      </c>
      <c r="G7">
        <v>71.523666666666671</v>
      </c>
      <c r="H7">
        <v>151.58216666666667</v>
      </c>
      <c r="I7">
        <v>-151.58216666666667</v>
      </c>
      <c r="J7">
        <v>1157</v>
      </c>
      <c r="K7">
        <v>174.96600000000001</v>
      </c>
      <c r="L7">
        <v>-0.35089999999999999</v>
      </c>
      <c r="M7">
        <v>34.250700000000002</v>
      </c>
      <c r="N7">
        <v>2249194116.0175662</v>
      </c>
      <c r="O7">
        <v>281352.45700992609</v>
      </c>
      <c r="P7">
        <v>173.10597432248434</v>
      </c>
      <c r="Q7">
        <v>27.525881214937726</v>
      </c>
      <c r="R7">
        <v>1.0275743111506745</v>
      </c>
      <c r="S7">
        <v>2311214094.4109011</v>
      </c>
      <c r="T7">
        <v>289110.55720252456</v>
      </c>
      <c r="U7">
        <v>231.12140944109009</v>
      </c>
      <c r="V7">
        <v>2.8911055720252456E-2</v>
      </c>
    </row>
    <row r="8" spans="1:22" x14ac:dyDescent="0.2">
      <c r="A8" t="s">
        <v>1</v>
      </c>
      <c r="B8">
        <v>832</v>
      </c>
      <c r="C8" t="s">
        <v>4</v>
      </c>
      <c r="D8" t="s">
        <v>10</v>
      </c>
      <c r="E8" s="2">
        <f t="shared" si="0"/>
        <v>45552</v>
      </c>
      <c r="F8" s="3">
        <f t="shared" si="1"/>
        <v>0.35811342592592593</v>
      </c>
      <c r="G8">
        <v>71.523666666666671</v>
      </c>
      <c r="H8">
        <v>151.58216666666667</v>
      </c>
      <c r="I8">
        <v>-151.58216666666667</v>
      </c>
      <c r="J8">
        <v>1157</v>
      </c>
      <c r="K8">
        <v>210.05</v>
      </c>
      <c r="L8">
        <v>0.2266</v>
      </c>
      <c r="M8">
        <v>34.574399999999997</v>
      </c>
      <c r="N8">
        <v>3112847631.5899405</v>
      </c>
      <c r="O8">
        <v>374501.96867830592</v>
      </c>
      <c r="P8">
        <v>207.79936281329881</v>
      </c>
      <c r="Q8">
        <v>27.755733684066172</v>
      </c>
      <c r="R8">
        <v>1.0278039576333544</v>
      </c>
      <c r="S8">
        <v>3199397115.2577548</v>
      </c>
      <c r="T8">
        <v>384914.60554904537</v>
      </c>
      <c r="U8">
        <v>319.93971152577546</v>
      </c>
      <c r="V8">
        <v>3.8491460554904537E-2</v>
      </c>
    </row>
    <row r="9" spans="1:22" x14ac:dyDescent="0.2">
      <c r="A9" t="s">
        <v>1</v>
      </c>
      <c r="B9">
        <v>830</v>
      </c>
      <c r="C9" t="s">
        <v>4</v>
      </c>
      <c r="D9" t="s">
        <v>10</v>
      </c>
      <c r="E9" s="2">
        <f t="shared" si="0"/>
        <v>45552</v>
      </c>
      <c r="F9" s="3">
        <f t="shared" si="1"/>
        <v>0.35811342592592593</v>
      </c>
      <c r="G9">
        <v>71.523666666666671</v>
      </c>
      <c r="H9">
        <v>151.58216666666667</v>
      </c>
      <c r="I9">
        <v>-151.58216666666667</v>
      </c>
      <c r="J9">
        <v>1157</v>
      </c>
      <c r="K9">
        <v>274.96499999999997</v>
      </c>
      <c r="L9">
        <v>0.62439999999999996</v>
      </c>
      <c r="M9">
        <v>34.724400000000003</v>
      </c>
      <c r="N9">
        <v>3439031447.831706</v>
      </c>
      <c r="O9">
        <v>603175.55400510319</v>
      </c>
      <c r="P9">
        <v>271.97612915302409</v>
      </c>
      <c r="Q9">
        <v>27.852612230947216</v>
      </c>
      <c r="R9">
        <v>1.0279007036434611</v>
      </c>
      <c r="S9">
        <v>3534982845.0782013</v>
      </c>
      <c r="T9">
        <v>620004.57638237998</v>
      </c>
      <c r="U9">
        <v>353.49828450782013</v>
      </c>
      <c r="V9">
        <v>6.2000457638237999E-2</v>
      </c>
    </row>
    <row r="10" spans="1:22" x14ac:dyDescent="0.2">
      <c r="A10" t="s">
        <v>1</v>
      </c>
      <c r="B10">
        <v>827</v>
      </c>
      <c r="C10" t="s">
        <v>4</v>
      </c>
      <c r="D10" t="s">
        <v>10</v>
      </c>
      <c r="E10" s="2">
        <f t="shared" si="0"/>
        <v>45552</v>
      </c>
      <c r="F10" s="3">
        <f t="shared" si="1"/>
        <v>0.35811342592592593</v>
      </c>
      <c r="G10">
        <v>71.523666666666671</v>
      </c>
      <c r="H10">
        <v>151.58216666666667</v>
      </c>
      <c r="I10">
        <v>-151.58216666666667</v>
      </c>
      <c r="J10">
        <v>1157</v>
      </c>
      <c r="K10">
        <v>408.28300000000002</v>
      </c>
      <c r="L10">
        <v>0.82550000000000001</v>
      </c>
      <c r="M10">
        <v>34.7864</v>
      </c>
      <c r="N10">
        <v>2894977684.344377</v>
      </c>
      <c r="O10">
        <v>488641.17672270024</v>
      </c>
      <c r="P10">
        <v>403.71506105481058</v>
      </c>
      <c r="Q10">
        <v>27.889958506982566</v>
      </c>
      <c r="R10">
        <v>1.0279379863116274</v>
      </c>
      <c r="S10">
        <v>2975857531.2620568</v>
      </c>
      <c r="T10">
        <v>502292.82722927653</v>
      </c>
      <c r="U10">
        <v>297.5857531262057</v>
      </c>
      <c r="V10">
        <v>5.0229282722927655E-2</v>
      </c>
    </row>
    <row r="11" spans="1:22" x14ac:dyDescent="0.2">
      <c r="A11" t="s">
        <v>1</v>
      </c>
      <c r="B11">
        <v>826</v>
      </c>
      <c r="C11" t="s">
        <v>4</v>
      </c>
      <c r="D11" t="s">
        <v>10</v>
      </c>
      <c r="E11" s="2">
        <f t="shared" si="0"/>
        <v>45552</v>
      </c>
      <c r="F11" s="3">
        <f t="shared" si="1"/>
        <v>0.35811342592592593</v>
      </c>
      <c r="G11">
        <v>71.523666666666671</v>
      </c>
      <c r="H11">
        <v>151.58216666666667</v>
      </c>
      <c r="I11">
        <v>-151.58216666666667</v>
      </c>
      <c r="J11">
        <v>1157</v>
      </c>
      <c r="K11">
        <v>509.53399999999999</v>
      </c>
      <c r="L11">
        <v>0.85650000000000004</v>
      </c>
      <c r="M11">
        <v>34.806399999999996</v>
      </c>
      <c r="N11">
        <v>3021476323.424304</v>
      </c>
      <c r="O11">
        <v>448257.48218361428</v>
      </c>
      <c r="P11">
        <v>503.71042289170475</v>
      </c>
      <c r="Q11">
        <v>27.904329044258475</v>
      </c>
      <c r="R11">
        <v>1.0279523474093313</v>
      </c>
      <c r="S11">
        <v>3105933679.3057294</v>
      </c>
      <c r="T11">
        <v>460787.33105444279</v>
      </c>
      <c r="U11">
        <v>310.59336793057292</v>
      </c>
      <c r="V11">
        <v>4.6078733105444282E-2</v>
      </c>
    </row>
    <row r="12" spans="1:22" x14ac:dyDescent="0.2">
      <c r="A12" t="s">
        <v>1</v>
      </c>
      <c r="B12">
        <v>825</v>
      </c>
      <c r="C12" t="s">
        <v>4</v>
      </c>
      <c r="D12" t="s">
        <v>10</v>
      </c>
      <c r="E12" s="2">
        <f t="shared" si="0"/>
        <v>45552</v>
      </c>
      <c r="F12" s="3">
        <f t="shared" si="1"/>
        <v>0.35811342592592593</v>
      </c>
      <c r="G12">
        <v>71.523666666666671</v>
      </c>
      <c r="H12">
        <v>151.58216666666667</v>
      </c>
      <c r="I12">
        <v>-151.58216666666667</v>
      </c>
      <c r="J12">
        <v>1157</v>
      </c>
      <c r="K12">
        <v>630.37599999999998</v>
      </c>
      <c r="L12">
        <v>0.78480000000000005</v>
      </c>
      <c r="M12">
        <v>34.836300000000001</v>
      </c>
      <c r="N12">
        <v>2660780450.587636</v>
      </c>
      <c r="O12">
        <v>436149.53822817677</v>
      </c>
      <c r="P12">
        <v>622.9903506968584</v>
      </c>
      <c r="Q12">
        <v>27.932945695403987</v>
      </c>
      <c r="R12">
        <v>1.0279809846883035</v>
      </c>
      <c r="S12">
        <v>2735231707.6344657</v>
      </c>
      <c r="T12">
        <v>448353.43177914998</v>
      </c>
      <c r="U12">
        <v>273.52317076344656</v>
      </c>
      <c r="V12">
        <v>4.4835343177914995E-2</v>
      </c>
    </row>
    <row r="13" spans="1:22" x14ac:dyDescent="0.2">
      <c r="A13" t="s">
        <v>1</v>
      </c>
      <c r="B13">
        <v>823</v>
      </c>
      <c r="C13" t="s">
        <v>4</v>
      </c>
      <c r="D13" t="s">
        <v>10</v>
      </c>
      <c r="E13" s="2">
        <f t="shared" si="0"/>
        <v>45552</v>
      </c>
      <c r="F13" s="3">
        <f t="shared" si="1"/>
        <v>0.35811342592592593</v>
      </c>
      <c r="G13">
        <v>71.523666666666671</v>
      </c>
      <c r="H13">
        <v>151.58216666666667</v>
      </c>
      <c r="I13">
        <v>-151.58216666666667</v>
      </c>
      <c r="J13">
        <v>1157</v>
      </c>
      <c r="K13">
        <v>1142.5509999999999</v>
      </c>
      <c r="L13">
        <v>7.9899999999999999E-2</v>
      </c>
      <c r="M13">
        <v>34.852800000000002</v>
      </c>
      <c r="N13">
        <v>1904393016.0276873</v>
      </c>
      <c r="O13">
        <v>224408.08799569152</v>
      </c>
      <c r="P13">
        <v>1127.7835804533868</v>
      </c>
      <c r="Q13">
        <v>27.989277026684704</v>
      </c>
      <c r="R13">
        <v>1.0280375348192978</v>
      </c>
      <c r="S13">
        <v>1957787501.5241911</v>
      </c>
      <c r="T13">
        <v>230699.93757660277</v>
      </c>
      <c r="U13">
        <v>195.77875015241912</v>
      </c>
      <c r="V13">
        <v>2.3069993757660275E-2</v>
      </c>
    </row>
    <row r="14" spans="1:22" x14ac:dyDescent="0.2">
      <c r="A14" t="s">
        <v>1</v>
      </c>
      <c r="B14">
        <v>464</v>
      </c>
      <c r="C14" t="s">
        <v>5</v>
      </c>
      <c r="D14" t="s">
        <v>11</v>
      </c>
      <c r="E14" s="2">
        <f t="shared" si="0"/>
        <v>45544</v>
      </c>
      <c r="F14" s="3">
        <f t="shared" si="1"/>
        <v>0.64793981481481477</v>
      </c>
      <c r="G14">
        <v>78.3035</v>
      </c>
      <c r="H14">
        <v>153.22</v>
      </c>
      <c r="I14">
        <v>-153.22</v>
      </c>
      <c r="J14">
        <v>2334</v>
      </c>
      <c r="K14">
        <v>5.9770000000000003</v>
      </c>
      <c r="L14">
        <v>-1.4216</v>
      </c>
      <c r="M14">
        <v>29.393899999999999</v>
      </c>
      <c r="N14">
        <v>134963160.62100542</v>
      </c>
      <c r="O14">
        <v>1054.8792128331354</v>
      </c>
      <c r="P14">
        <v>5.9140239786755719</v>
      </c>
      <c r="Q14">
        <v>23.627158902344036</v>
      </c>
      <c r="R14">
        <v>1.023676375142281</v>
      </c>
      <c r="S14">
        <v>138158599.04225627</v>
      </c>
      <c r="T14">
        <v>1079.8549288059669</v>
      </c>
      <c r="U14">
        <v>13.815859904225627</v>
      </c>
      <c r="V14">
        <v>1.0798549288059669E-4</v>
      </c>
    </row>
    <row r="15" spans="1:22" x14ac:dyDescent="0.2">
      <c r="A15" t="s">
        <v>1</v>
      </c>
      <c r="B15">
        <v>461</v>
      </c>
      <c r="C15" t="s">
        <v>5</v>
      </c>
      <c r="D15" t="s">
        <v>11</v>
      </c>
      <c r="E15" s="2">
        <f t="shared" si="0"/>
        <v>45544</v>
      </c>
      <c r="F15" s="3">
        <f t="shared" si="1"/>
        <v>0.64793981481481477</v>
      </c>
      <c r="G15">
        <v>78.3035</v>
      </c>
      <c r="H15">
        <v>153.22</v>
      </c>
      <c r="I15">
        <v>-153.22</v>
      </c>
      <c r="J15">
        <v>2334</v>
      </c>
      <c r="K15">
        <v>52.121000000000002</v>
      </c>
      <c r="L15">
        <v>-1.5861000000000001</v>
      </c>
      <c r="M15">
        <v>31.440200000000001</v>
      </c>
      <c r="N15">
        <v>108595130.14755701</v>
      </c>
      <c r="O15">
        <v>654.3938132984091</v>
      </c>
      <c r="P15">
        <v>51.566057822085128</v>
      </c>
      <c r="Q15">
        <v>25.290573566662033</v>
      </c>
      <c r="R15">
        <v>1.0253396547032867</v>
      </c>
      <c r="S15">
        <v>111346893.24795458</v>
      </c>
      <c r="T15">
        <v>670.97592656735787</v>
      </c>
      <c r="U15">
        <v>11.134689324795458</v>
      </c>
      <c r="V15">
        <v>6.7097592656735792E-5</v>
      </c>
    </row>
    <row r="16" spans="1:22" x14ac:dyDescent="0.2">
      <c r="A16" t="s">
        <v>1</v>
      </c>
      <c r="B16">
        <v>460</v>
      </c>
      <c r="C16" t="s">
        <v>5</v>
      </c>
      <c r="D16" t="s">
        <v>11</v>
      </c>
      <c r="E16" s="2">
        <f t="shared" si="0"/>
        <v>45544</v>
      </c>
      <c r="F16" s="3">
        <f t="shared" si="1"/>
        <v>0.64793981481481477</v>
      </c>
      <c r="G16">
        <v>78.3035</v>
      </c>
      <c r="H16">
        <v>153.22</v>
      </c>
      <c r="I16">
        <v>-153.22</v>
      </c>
      <c r="J16">
        <v>2334</v>
      </c>
      <c r="K16">
        <v>65.728999999999999</v>
      </c>
      <c r="L16">
        <v>-1.516</v>
      </c>
      <c r="M16">
        <v>31.859000000000002</v>
      </c>
      <c r="N16">
        <v>90881520.497557357</v>
      </c>
      <c r="O16">
        <v>439.71927641671465</v>
      </c>
      <c r="P16">
        <v>65.027024536354219</v>
      </c>
      <c r="Q16">
        <v>25.629078260450342</v>
      </c>
      <c r="R16">
        <v>1.0256780976274322</v>
      </c>
      <c r="S16">
        <v>93215185.053423122</v>
      </c>
      <c r="T16">
        <v>451.01043092520689</v>
      </c>
      <c r="U16">
        <v>9.3215185053423113</v>
      </c>
      <c r="V16">
        <v>4.5101043092520689E-5</v>
      </c>
    </row>
    <row r="17" spans="1:22" x14ac:dyDescent="0.2">
      <c r="A17" t="s">
        <v>1</v>
      </c>
      <c r="B17">
        <v>456</v>
      </c>
      <c r="C17" t="s">
        <v>5</v>
      </c>
      <c r="D17" t="s">
        <v>11</v>
      </c>
      <c r="E17" s="2">
        <f t="shared" si="0"/>
        <v>45544</v>
      </c>
      <c r="F17" s="3">
        <f t="shared" si="1"/>
        <v>0.64793981481481477</v>
      </c>
      <c r="G17">
        <v>78.3035</v>
      </c>
      <c r="H17">
        <v>153.22</v>
      </c>
      <c r="I17">
        <v>-153.22</v>
      </c>
      <c r="J17">
        <v>2334</v>
      </c>
      <c r="K17">
        <v>150.34899999999999</v>
      </c>
      <c r="L17">
        <v>-1.5483</v>
      </c>
      <c r="M17">
        <v>33.136600000000001</v>
      </c>
      <c r="N17">
        <v>205086222.13220492</v>
      </c>
      <c r="O17">
        <v>2483.6465774765197</v>
      </c>
      <c r="P17">
        <v>148.712797575785</v>
      </c>
      <c r="Q17">
        <v>26.669977883926094</v>
      </c>
      <c r="R17">
        <v>1.0267188899709603</v>
      </c>
      <c r="S17">
        <v>210565898.33591521</v>
      </c>
      <c r="T17">
        <v>2550.0068571068668</v>
      </c>
      <c r="U17">
        <v>21.05658983359152</v>
      </c>
      <c r="V17">
        <v>2.5500068571068671E-4</v>
      </c>
    </row>
    <row r="18" spans="1:22" x14ac:dyDescent="0.2">
      <c r="A18" t="s">
        <v>1</v>
      </c>
      <c r="B18">
        <v>455</v>
      </c>
      <c r="C18" t="s">
        <v>5</v>
      </c>
      <c r="D18" t="s">
        <v>11</v>
      </c>
      <c r="E18" s="2">
        <f t="shared" si="0"/>
        <v>45544</v>
      </c>
      <c r="F18" s="3">
        <f t="shared" si="1"/>
        <v>0.64793981481481477</v>
      </c>
      <c r="G18">
        <v>78.3035</v>
      </c>
      <c r="H18">
        <v>153.22</v>
      </c>
      <c r="I18">
        <v>-153.22</v>
      </c>
      <c r="J18">
        <v>2334</v>
      </c>
      <c r="K18">
        <v>172.428</v>
      </c>
      <c r="L18">
        <v>-1.0106999999999999</v>
      </c>
      <c r="M18">
        <v>33.732399999999998</v>
      </c>
      <c r="N18">
        <v>875133662.07709479</v>
      </c>
      <c r="O18">
        <v>46249.020324147517</v>
      </c>
      <c r="P18">
        <v>170.54240228484255</v>
      </c>
      <c r="Q18">
        <v>27.135278492221687</v>
      </c>
      <c r="R18">
        <v>1.0271839629367012</v>
      </c>
      <c r="S18">
        <v>898923263.1116581</v>
      </c>
      <c r="T18">
        <v>47506.251978497887</v>
      </c>
      <c r="U18">
        <v>89.892326311165803</v>
      </c>
      <c r="V18">
        <v>4.7506251978497883E-3</v>
      </c>
    </row>
    <row r="19" spans="1:22" x14ac:dyDescent="0.2">
      <c r="A19" t="s">
        <v>1</v>
      </c>
      <c r="B19">
        <v>453</v>
      </c>
      <c r="C19" t="s">
        <v>5</v>
      </c>
      <c r="D19" t="s">
        <v>11</v>
      </c>
      <c r="E19" s="2">
        <f t="shared" si="0"/>
        <v>45544</v>
      </c>
      <c r="F19" s="3">
        <f t="shared" si="1"/>
        <v>0.64793981481481477</v>
      </c>
      <c r="G19">
        <v>78.3035</v>
      </c>
      <c r="H19">
        <v>153.22</v>
      </c>
      <c r="I19">
        <v>-153.22</v>
      </c>
      <c r="J19">
        <v>2334</v>
      </c>
      <c r="K19">
        <v>224.333</v>
      </c>
      <c r="L19">
        <v>-0.63039999999999996</v>
      </c>
      <c r="M19">
        <v>34.412100000000002</v>
      </c>
      <c r="N19">
        <v>6033279332.8857527</v>
      </c>
      <c r="O19">
        <v>1874280.6532078721</v>
      </c>
      <c r="P19">
        <v>221.85193047592037</v>
      </c>
      <c r="Q19">
        <v>27.667751364952892</v>
      </c>
      <c r="R19">
        <v>1.0277162546864735</v>
      </c>
      <c r="S19">
        <v>6200499239.4706516</v>
      </c>
      <c r="T19">
        <v>1926228.6931461114</v>
      </c>
      <c r="U19">
        <v>620.04992394706517</v>
      </c>
      <c r="V19">
        <v>0.19262286931461114</v>
      </c>
    </row>
    <row r="20" spans="1:22" x14ac:dyDescent="0.2">
      <c r="A20" t="s">
        <v>1</v>
      </c>
      <c r="B20">
        <v>451</v>
      </c>
      <c r="C20" t="s">
        <v>5</v>
      </c>
      <c r="D20" t="s">
        <v>11</v>
      </c>
      <c r="E20" s="2">
        <f t="shared" si="0"/>
        <v>45544</v>
      </c>
      <c r="F20" s="3">
        <f t="shared" si="1"/>
        <v>0.64793981481481477</v>
      </c>
      <c r="G20">
        <v>78.3035</v>
      </c>
      <c r="H20">
        <v>153.22</v>
      </c>
      <c r="I20">
        <v>-153.22</v>
      </c>
      <c r="J20">
        <v>2334</v>
      </c>
      <c r="K20">
        <v>288.149</v>
      </c>
      <c r="L20">
        <v>0.54069999999999996</v>
      </c>
      <c r="M20">
        <v>34.713099999999997</v>
      </c>
      <c r="N20">
        <v>4202392865.9332404</v>
      </c>
      <c r="O20">
        <v>825952.73919301084</v>
      </c>
      <c r="P20">
        <v>284.91819381065989</v>
      </c>
      <c r="Q20">
        <v>27.848448016509337</v>
      </c>
      <c r="R20">
        <v>1.027896565767443</v>
      </c>
      <c r="S20">
        <v>4319625194.8983803</v>
      </c>
      <c r="T20">
        <v>848993.9841027084</v>
      </c>
      <c r="U20">
        <v>431.96251948983803</v>
      </c>
      <c r="V20">
        <v>8.4899398410270846E-2</v>
      </c>
    </row>
    <row r="21" spans="1:22" x14ac:dyDescent="0.2">
      <c r="A21" t="s">
        <v>1</v>
      </c>
      <c r="B21">
        <v>448</v>
      </c>
      <c r="C21" t="s">
        <v>5</v>
      </c>
      <c r="D21" t="s">
        <v>11</v>
      </c>
      <c r="E21" s="2">
        <f t="shared" si="0"/>
        <v>45544</v>
      </c>
      <c r="F21" s="3">
        <f t="shared" si="1"/>
        <v>0.64793981481481477</v>
      </c>
      <c r="G21">
        <v>78.3035</v>
      </c>
      <c r="H21">
        <v>153.22</v>
      </c>
      <c r="I21">
        <v>-153.22</v>
      </c>
      <c r="J21">
        <v>2334</v>
      </c>
      <c r="K21">
        <v>458.42500000000001</v>
      </c>
      <c r="L21">
        <v>0.98009999999999997</v>
      </c>
      <c r="M21">
        <v>34.841299999999997</v>
      </c>
      <c r="N21">
        <v>3313318553.2044988</v>
      </c>
      <c r="O21">
        <v>580771.99030872819</v>
      </c>
      <c r="P21">
        <v>453.09890729807637</v>
      </c>
      <c r="Q21">
        <v>27.923896255985255</v>
      </c>
      <c r="R21">
        <v>1.0279718741679029</v>
      </c>
      <c r="S21">
        <v>3405998282.8529134</v>
      </c>
      <c r="T21">
        <v>597017.27134188649</v>
      </c>
      <c r="U21">
        <v>340.59982828529132</v>
      </c>
      <c r="V21">
        <v>5.9701727134188649E-2</v>
      </c>
    </row>
    <row r="22" spans="1:22" x14ac:dyDescent="0.2">
      <c r="A22" t="s">
        <v>1</v>
      </c>
      <c r="B22">
        <v>446</v>
      </c>
      <c r="C22" t="s">
        <v>5</v>
      </c>
      <c r="D22" t="s">
        <v>11</v>
      </c>
      <c r="E22" s="2">
        <f t="shared" si="0"/>
        <v>45544</v>
      </c>
      <c r="F22" s="3">
        <f t="shared" si="1"/>
        <v>0.64793981481481477</v>
      </c>
      <c r="G22">
        <v>78.3035</v>
      </c>
      <c r="H22">
        <v>153.22</v>
      </c>
      <c r="I22">
        <v>-153.22</v>
      </c>
      <c r="J22">
        <v>2334</v>
      </c>
      <c r="K22">
        <v>610.56700000000001</v>
      </c>
      <c r="L22">
        <v>0.81130000000000002</v>
      </c>
      <c r="M22">
        <v>34.862400000000001</v>
      </c>
      <c r="N22">
        <v>3208039729.5681953</v>
      </c>
      <c r="O22">
        <v>541017.92430011753</v>
      </c>
      <c r="P22">
        <v>603.25254590495979</v>
      </c>
      <c r="Q22">
        <v>27.952179381109545</v>
      </c>
      <c r="R22">
        <v>1.0280002078959021</v>
      </c>
      <c r="S22">
        <v>3297865508.9344182</v>
      </c>
      <c r="T22">
        <v>556166.5386559302</v>
      </c>
      <c r="U22">
        <v>329.78655089344181</v>
      </c>
      <c r="V22">
        <v>5.5616653865593023E-2</v>
      </c>
    </row>
    <row r="23" spans="1:22" x14ac:dyDescent="0.2">
      <c r="A23" t="s">
        <v>1</v>
      </c>
      <c r="B23">
        <v>445</v>
      </c>
      <c r="C23" t="s">
        <v>5</v>
      </c>
      <c r="D23" t="s">
        <v>11</v>
      </c>
      <c r="E23" s="2">
        <f t="shared" si="0"/>
        <v>45544</v>
      </c>
      <c r="F23" s="3">
        <f t="shared" si="1"/>
        <v>0.64793981481481477</v>
      </c>
      <c r="G23">
        <v>78.3035</v>
      </c>
      <c r="H23">
        <v>153.22</v>
      </c>
      <c r="I23">
        <v>-153.22</v>
      </c>
      <c r="J23">
        <v>2334</v>
      </c>
      <c r="K23">
        <v>813.38499999999999</v>
      </c>
      <c r="L23">
        <v>0.44059999999999999</v>
      </c>
      <c r="M23">
        <v>34.871299999999998</v>
      </c>
      <c r="N23">
        <v>3203219681.4823689</v>
      </c>
      <c r="O23">
        <v>596293.7554884844</v>
      </c>
      <c r="P23">
        <v>803.25024871604091</v>
      </c>
      <c r="Q23">
        <v>27.982675710926969</v>
      </c>
      <c r="R23">
        <v>1.0280308174773076</v>
      </c>
      <c r="S23">
        <v>3293008547.7137208</v>
      </c>
      <c r="T23">
        <v>613008.35691144038</v>
      </c>
      <c r="U23">
        <v>329.30085477137209</v>
      </c>
      <c r="V23">
        <v>6.1300835691144036E-2</v>
      </c>
    </row>
    <row r="24" spans="1:22" x14ac:dyDescent="0.2">
      <c r="A24" t="s">
        <v>1</v>
      </c>
      <c r="B24">
        <v>444</v>
      </c>
      <c r="C24" t="s">
        <v>5</v>
      </c>
      <c r="D24" t="s">
        <v>11</v>
      </c>
      <c r="E24" s="2">
        <f t="shared" si="0"/>
        <v>45544</v>
      </c>
      <c r="F24" s="3">
        <f t="shared" si="1"/>
        <v>0.64793981481481477</v>
      </c>
      <c r="G24">
        <v>78.3035</v>
      </c>
      <c r="H24">
        <v>153.22</v>
      </c>
      <c r="I24">
        <v>-153.22</v>
      </c>
      <c r="J24">
        <v>2334</v>
      </c>
      <c r="K24">
        <v>1016.524</v>
      </c>
      <c r="L24">
        <v>0.1817</v>
      </c>
      <c r="M24">
        <v>34.881700000000002</v>
      </c>
      <c r="N24">
        <v>3024650130.3040414</v>
      </c>
      <c r="O24">
        <v>495926.2194708871</v>
      </c>
      <c r="P24">
        <v>1003.3712766222557</v>
      </c>
      <c r="Q24">
        <v>28.006471409786855</v>
      </c>
      <c r="R24">
        <v>1.0280546936737105</v>
      </c>
      <c r="S24">
        <v>3109505763.1798697</v>
      </c>
      <c r="T24">
        <v>509839.27764290414</v>
      </c>
      <c r="U24">
        <v>310.95057631798699</v>
      </c>
      <c r="V24">
        <v>5.0983927764290414E-2</v>
      </c>
    </row>
    <row r="25" spans="1:22" x14ac:dyDescent="0.2">
      <c r="A25" t="s">
        <v>1</v>
      </c>
      <c r="B25">
        <v>443</v>
      </c>
      <c r="C25" t="s">
        <v>5</v>
      </c>
      <c r="D25" t="s">
        <v>11</v>
      </c>
      <c r="E25" s="2">
        <f t="shared" si="0"/>
        <v>45544</v>
      </c>
      <c r="F25" s="3">
        <f t="shared" si="1"/>
        <v>0.64793981481481477</v>
      </c>
      <c r="G25">
        <v>78.3035</v>
      </c>
      <c r="H25">
        <v>153.22</v>
      </c>
      <c r="I25">
        <v>-153.22</v>
      </c>
      <c r="J25">
        <v>2334</v>
      </c>
      <c r="K25">
        <v>1525.3389999999999</v>
      </c>
      <c r="L25">
        <v>-0.2341</v>
      </c>
      <c r="M25">
        <v>34.902099999999997</v>
      </c>
      <c r="N25">
        <v>1603610605.5717671</v>
      </c>
      <c r="O25">
        <v>125650.84503095706</v>
      </c>
      <c r="P25">
        <v>1503.7861981976621</v>
      </c>
      <c r="Q25">
        <v>28.046698602828428</v>
      </c>
      <c r="R25">
        <v>1.0280950545213912</v>
      </c>
      <c r="S25">
        <v>1648664132.966387</v>
      </c>
      <c r="T25">
        <v>129181.01237276067</v>
      </c>
      <c r="U25">
        <v>164.86641329663871</v>
      </c>
      <c r="V25">
        <v>1.2918101237276066E-2</v>
      </c>
    </row>
    <row r="26" spans="1:22" x14ac:dyDescent="0.2">
      <c r="A26" t="s">
        <v>1</v>
      </c>
      <c r="B26">
        <v>442</v>
      </c>
      <c r="C26" t="s">
        <v>5</v>
      </c>
      <c r="D26" t="s">
        <v>11</v>
      </c>
      <c r="E26" s="2">
        <f t="shared" si="0"/>
        <v>45544</v>
      </c>
      <c r="F26" s="3">
        <f t="shared" si="1"/>
        <v>0.64793981481481477</v>
      </c>
      <c r="G26">
        <v>78.3035</v>
      </c>
      <c r="H26">
        <v>153.22</v>
      </c>
      <c r="I26">
        <v>-153.22</v>
      </c>
      <c r="J26">
        <v>2334</v>
      </c>
      <c r="K26">
        <v>2033.9870000000001</v>
      </c>
      <c r="L26">
        <v>-0.39679999999999999</v>
      </c>
      <c r="M26">
        <v>34.941200000000002</v>
      </c>
      <c r="N26">
        <v>109165938.70547201</v>
      </c>
      <c r="O26">
        <v>624.87196384330991</v>
      </c>
      <c r="P26">
        <v>2002.8507185206954</v>
      </c>
      <c r="Q26">
        <v>28.088139998825682</v>
      </c>
      <c r="R26">
        <v>1.0281365523333701</v>
      </c>
      <c r="S26">
        <v>112237491.85287999</v>
      </c>
      <c r="T26">
        <v>642.45370655564295</v>
      </c>
      <c r="U26">
        <v>11.223749185287998</v>
      </c>
      <c r="V26">
        <v>6.4245370655564298E-5</v>
      </c>
    </row>
    <row r="27" spans="1:22" x14ac:dyDescent="0.2">
      <c r="A27" t="s">
        <v>1</v>
      </c>
      <c r="B27">
        <v>441</v>
      </c>
      <c r="C27" t="s">
        <v>5</v>
      </c>
      <c r="D27" t="s">
        <v>11</v>
      </c>
      <c r="E27" s="2">
        <f t="shared" si="0"/>
        <v>45544</v>
      </c>
      <c r="F27" s="3">
        <f t="shared" si="1"/>
        <v>0.64793981481481477</v>
      </c>
      <c r="G27">
        <v>78.3035</v>
      </c>
      <c r="H27">
        <v>153.22</v>
      </c>
      <c r="I27">
        <v>-153.22</v>
      </c>
      <c r="J27">
        <v>2334</v>
      </c>
      <c r="K27">
        <v>2386.3270000000002</v>
      </c>
      <c r="L27">
        <v>-0.375</v>
      </c>
      <c r="M27">
        <v>34.947400000000002</v>
      </c>
      <c r="N27">
        <v>31812040.516087852</v>
      </c>
      <c r="O27">
        <v>65.979261547619529</v>
      </c>
      <c r="P27">
        <v>2347.8667167663702</v>
      </c>
      <c r="Q27">
        <v>28.093456590662527</v>
      </c>
      <c r="R27">
        <v>1.028141869455373</v>
      </c>
      <c r="S27">
        <v>32707290.807400633</v>
      </c>
      <c r="T27">
        <v>67.836041312854547</v>
      </c>
      <c r="U27">
        <v>3.2707290807400633</v>
      </c>
      <c r="V27">
        <v>6.7836041312854548E-6</v>
      </c>
    </row>
    <row r="28" spans="1:22" x14ac:dyDescent="0.2">
      <c r="A28" t="s">
        <v>1</v>
      </c>
      <c r="B28">
        <v>702</v>
      </c>
      <c r="C28" t="s">
        <v>6</v>
      </c>
      <c r="D28" t="s">
        <v>12</v>
      </c>
      <c r="E28" s="2">
        <f t="shared" si="0"/>
        <v>45550</v>
      </c>
      <c r="F28" s="3">
        <f t="shared" si="1"/>
        <v>0.34112268518518518</v>
      </c>
      <c r="G28">
        <v>75.3035</v>
      </c>
      <c r="H28">
        <v>153.28933333333299</v>
      </c>
      <c r="I28">
        <v>-153.28933333333299</v>
      </c>
      <c r="J28">
        <v>3846</v>
      </c>
      <c r="K28">
        <v>6.0419999999999998</v>
      </c>
      <c r="L28">
        <v>0.39929999999999999</v>
      </c>
      <c r="M28">
        <v>25.403700000000001</v>
      </c>
      <c r="N28">
        <v>157838998.56105459</v>
      </c>
      <c r="O28">
        <v>1367.9043424303222</v>
      </c>
      <c r="P28">
        <v>5.9790748814169827</v>
      </c>
      <c r="Q28">
        <v>20.361106328824235</v>
      </c>
      <c r="R28">
        <v>1.0204100945924091</v>
      </c>
      <c r="S28">
        <v>161060507.45205683</v>
      </c>
      <c r="T28">
        <v>1395.8233994526922</v>
      </c>
      <c r="U28">
        <v>16.106050745205682</v>
      </c>
      <c r="V28">
        <v>1.3958233994526922E-4</v>
      </c>
    </row>
    <row r="29" spans="1:22" x14ac:dyDescent="0.2">
      <c r="A29" t="s">
        <v>1</v>
      </c>
      <c r="B29">
        <v>699</v>
      </c>
      <c r="C29" t="s">
        <v>6</v>
      </c>
      <c r="D29" t="s">
        <v>12</v>
      </c>
      <c r="E29" s="2">
        <f t="shared" si="0"/>
        <v>45550</v>
      </c>
      <c r="F29" s="3">
        <f t="shared" si="1"/>
        <v>0.34112268518518518</v>
      </c>
      <c r="G29">
        <v>75.3035</v>
      </c>
      <c r="H29">
        <v>153.28933333333333</v>
      </c>
      <c r="I29">
        <v>-153.28933333333333</v>
      </c>
      <c r="J29">
        <v>3846</v>
      </c>
      <c r="K29">
        <v>58.344000000000001</v>
      </c>
      <c r="L29">
        <v>0.14430000000000001</v>
      </c>
      <c r="M29">
        <v>31.281400000000001</v>
      </c>
      <c r="N29">
        <v>121366075.3009852</v>
      </c>
      <c r="O29">
        <v>745.66336411888767</v>
      </c>
      <c r="P29">
        <v>57.729042090739824</v>
      </c>
      <c r="Q29">
        <v>25.104695184028969</v>
      </c>
      <c r="R29">
        <v>1.0251532364247649</v>
      </c>
      <c r="S29">
        <v>124418824.8869767</v>
      </c>
      <c r="T29">
        <v>764.41921100985553</v>
      </c>
      <c r="U29">
        <v>12.44188248869767</v>
      </c>
      <c r="V29">
        <v>7.6441921100985546E-5</v>
      </c>
    </row>
    <row r="30" spans="1:22" x14ac:dyDescent="0.2">
      <c r="A30" t="s">
        <v>1</v>
      </c>
      <c r="B30">
        <v>698</v>
      </c>
      <c r="C30" t="s">
        <v>6</v>
      </c>
      <c r="D30" t="s">
        <v>12</v>
      </c>
      <c r="E30" s="2">
        <f t="shared" si="0"/>
        <v>45550</v>
      </c>
      <c r="F30" s="3">
        <f t="shared" si="1"/>
        <v>0.34112268518518518</v>
      </c>
      <c r="G30">
        <v>75.3035</v>
      </c>
      <c r="H30">
        <v>153.28933333333333</v>
      </c>
      <c r="I30">
        <v>-153.28933333333333</v>
      </c>
      <c r="J30">
        <v>3846</v>
      </c>
      <c r="K30">
        <v>78.846999999999994</v>
      </c>
      <c r="L30">
        <v>-0.70630000000000004</v>
      </c>
      <c r="M30">
        <v>31.8782</v>
      </c>
      <c r="N30">
        <v>91268458.648717999</v>
      </c>
      <c r="O30">
        <v>464.64396858755617</v>
      </c>
      <c r="P30">
        <v>78.012057227968313</v>
      </c>
      <c r="Q30">
        <v>25.621095378958898</v>
      </c>
      <c r="R30">
        <v>1.0256698510328826</v>
      </c>
      <c r="S30">
        <v>93611306.386231393</v>
      </c>
      <c r="T30">
        <v>476.57131004452611</v>
      </c>
      <c r="U30">
        <v>9.3611306386231394</v>
      </c>
      <c r="V30">
        <v>4.7657131004452615E-5</v>
      </c>
    </row>
    <row r="31" spans="1:22" x14ac:dyDescent="0.2">
      <c r="A31" t="s">
        <v>1</v>
      </c>
      <c r="B31">
        <v>694</v>
      </c>
      <c r="C31" t="s">
        <v>6</v>
      </c>
      <c r="D31" t="s">
        <v>12</v>
      </c>
      <c r="E31" s="2">
        <f t="shared" si="0"/>
        <v>45550</v>
      </c>
      <c r="F31" s="3">
        <f t="shared" si="1"/>
        <v>0.34112268518518518</v>
      </c>
      <c r="G31">
        <v>75.3035</v>
      </c>
      <c r="H31">
        <v>153.28933333333333</v>
      </c>
      <c r="I31">
        <v>-153.28933333333333</v>
      </c>
      <c r="J31">
        <v>3846</v>
      </c>
      <c r="K31">
        <v>199.666</v>
      </c>
      <c r="L31">
        <v>-1.4540999999999999</v>
      </c>
      <c r="M31">
        <v>33.118000000000002</v>
      </c>
      <c r="N31">
        <v>319593708.61447692</v>
      </c>
      <c r="O31">
        <v>5147.0270824939689</v>
      </c>
      <c r="P31">
        <v>197.49385670992029</v>
      </c>
      <c r="Q31">
        <v>26.64995263451965</v>
      </c>
      <c r="R31">
        <v>1.0266988364126968</v>
      </c>
      <c r="S31">
        <v>328126488.7593019</v>
      </c>
      <c r="T31">
        <v>5284.4467165811957</v>
      </c>
      <c r="U31">
        <v>32.812648875930194</v>
      </c>
      <c r="V31">
        <v>5.2844467165811962E-4</v>
      </c>
    </row>
    <row r="32" spans="1:22" x14ac:dyDescent="0.2">
      <c r="A32" t="s">
        <v>1</v>
      </c>
      <c r="B32">
        <v>693</v>
      </c>
      <c r="C32" t="s">
        <v>6</v>
      </c>
      <c r="D32" t="s">
        <v>12</v>
      </c>
      <c r="E32" s="2">
        <f t="shared" si="0"/>
        <v>45550</v>
      </c>
      <c r="F32" s="3">
        <f t="shared" si="1"/>
        <v>0.34112268518518518</v>
      </c>
      <c r="G32">
        <v>75.3035</v>
      </c>
      <c r="H32">
        <v>153.28933333333333</v>
      </c>
      <c r="I32">
        <v>-153.28933333333333</v>
      </c>
      <c r="J32">
        <v>3846</v>
      </c>
      <c r="K32">
        <v>229.51</v>
      </c>
      <c r="L32">
        <v>-1.0989</v>
      </c>
      <c r="M32">
        <v>33.701599999999999</v>
      </c>
      <c r="N32">
        <v>1024019810.6347429</v>
      </c>
      <c r="O32">
        <v>55133.948854707989</v>
      </c>
      <c r="P32">
        <v>226.99680146149015</v>
      </c>
      <c r="Q32">
        <v>27.111128204130409</v>
      </c>
      <c r="R32">
        <v>1.0271598443842322</v>
      </c>
      <c r="S32">
        <v>1051832029.3379534</v>
      </c>
      <c r="T32">
        <v>56631.37832589008</v>
      </c>
      <c r="U32">
        <v>105.18320293379534</v>
      </c>
      <c r="V32">
        <v>5.6631378325890077E-3</v>
      </c>
    </row>
    <row r="33" spans="1:22" x14ac:dyDescent="0.2">
      <c r="A33" t="s">
        <v>1</v>
      </c>
      <c r="B33">
        <v>692</v>
      </c>
      <c r="C33" t="s">
        <v>6</v>
      </c>
      <c r="D33" t="s">
        <v>12</v>
      </c>
      <c r="E33" s="2">
        <f t="shared" si="0"/>
        <v>45550</v>
      </c>
      <c r="F33" s="3">
        <f t="shared" si="1"/>
        <v>0.34112268518518518</v>
      </c>
      <c r="G33">
        <v>75.3035</v>
      </c>
      <c r="H33">
        <v>153.28933333333333</v>
      </c>
      <c r="I33">
        <v>-153.28933333333333</v>
      </c>
      <c r="J33">
        <v>3846</v>
      </c>
      <c r="K33">
        <v>253.48400000000001</v>
      </c>
      <c r="L33">
        <v>-0.60329999999999995</v>
      </c>
      <c r="M33">
        <v>34.174900000000001</v>
      </c>
      <c r="N33">
        <v>1845518437.2740793</v>
      </c>
      <c r="O33">
        <v>192028.8891119289</v>
      </c>
      <c r="P33">
        <v>250.69374964654139</v>
      </c>
      <c r="Q33">
        <v>27.474274275968583</v>
      </c>
      <c r="R33">
        <v>1.0275227908808209</v>
      </c>
      <c r="S33">
        <v>1896312255.2898731</v>
      </c>
      <c r="T33">
        <v>197314.06007003287</v>
      </c>
      <c r="U33">
        <v>189.6312255289873</v>
      </c>
      <c r="V33">
        <v>1.9731406007003287E-2</v>
      </c>
    </row>
    <row r="34" spans="1:22" x14ac:dyDescent="0.2">
      <c r="A34" t="s">
        <v>1</v>
      </c>
      <c r="B34">
        <v>691</v>
      </c>
      <c r="C34" t="s">
        <v>6</v>
      </c>
      <c r="D34" t="s">
        <v>12</v>
      </c>
      <c r="E34" s="2">
        <f t="shared" si="0"/>
        <v>45550</v>
      </c>
      <c r="F34" s="3">
        <f t="shared" si="1"/>
        <v>0.34112268518518518</v>
      </c>
      <c r="G34">
        <v>75.3035</v>
      </c>
      <c r="H34">
        <v>153.28933333333333</v>
      </c>
      <c r="I34">
        <v>-153.28933333333333</v>
      </c>
      <c r="J34">
        <v>3846</v>
      </c>
      <c r="K34">
        <v>276.66800000000001</v>
      </c>
      <c r="L34">
        <v>-0.29270000000000002</v>
      </c>
      <c r="M34">
        <v>34.397199999999998</v>
      </c>
      <c r="N34">
        <v>2286685931.3578324</v>
      </c>
      <c r="O34">
        <v>279835.6047297722</v>
      </c>
      <c r="P34">
        <v>273.60722073605746</v>
      </c>
      <c r="Q34">
        <v>27.639451626160962</v>
      </c>
      <c r="R34">
        <v>1.027687851705269</v>
      </c>
      <c r="S34">
        <v>2349999352.3217931</v>
      </c>
      <c r="T34">
        <v>287583.65145538439</v>
      </c>
      <c r="U34">
        <v>234.9999352321793</v>
      </c>
      <c r="V34">
        <v>2.875836514553844E-2</v>
      </c>
    </row>
    <row r="35" spans="1:22" x14ac:dyDescent="0.2">
      <c r="A35" t="s">
        <v>1</v>
      </c>
      <c r="B35">
        <v>689</v>
      </c>
      <c r="C35" t="s">
        <v>6</v>
      </c>
      <c r="D35" t="s">
        <v>12</v>
      </c>
      <c r="E35" s="2">
        <f t="shared" si="0"/>
        <v>45550</v>
      </c>
      <c r="F35" s="3">
        <f t="shared" si="1"/>
        <v>0.34112268518518518</v>
      </c>
      <c r="G35">
        <v>75.3035</v>
      </c>
      <c r="H35">
        <v>153.28933333333333</v>
      </c>
      <c r="I35">
        <v>-153.28933333333333</v>
      </c>
      <c r="J35">
        <v>3846</v>
      </c>
      <c r="K35">
        <v>353.19200000000001</v>
      </c>
      <c r="L35">
        <v>0.44219999999999998</v>
      </c>
      <c r="M35">
        <v>34.719200000000001</v>
      </c>
      <c r="N35">
        <v>2442951170.6265788</v>
      </c>
      <c r="O35">
        <v>313834.04776641133</v>
      </c>
      <c r="P35">
        <v>349.22011131071412</v>
      </c>
      <c r="Q35">
        <v>27.859562178724445</v>
      </c>
      <c r="R35">
        <v>1.027907709926541</v>
      </c>
      <c r="S35">
        <v>2511128343.2611294</v>
      </c>
      <c r="T35">
        <v>322592.43733654858</v>
      </c>
      <c r="U35">
        <v>251.11283432611293</v>
      </c>
      <c r="V35">
        <v>3.2259243733654859E-2</v>
      </c>
    </row>
    <row r="36" spans="1:22" x14ac:dyDescent="0.2">
      <c r="A36" t="s">
        <v>1</v>
      </c>
      <c r="B36">
        <v>687</v>
      </c>
      <c r="C36" t="s">
        <v>6</v>
      </c>
      <c r="D36" t="s">
        <v>12</v>
      </c>
      <c r="E36" s="2">
        <f t="shared" si="0"/>
        <v>45550</v>
      </c>
      <c r="F36" s="3">
        <f t="shared" si="1"/>
        <v>0.34112268518518518</v>
      </c>
      <c r="G36">
        <v>75.3035</v>
      </c>
      <c r="H36">
        <v>153.28933333333333</v>
      </c>
      <c r="I36">
        <v>-153.28933333333333</v>
      </c>
      <c r="J36">
        <v>3846</v>
      </c>
      <c r="K36">
        <v>505.08100000000002</v>
      </c>
      <c r="L36">
        <v>0.84030000000000005</v>
      </c>
      <c r="M36">
        <v>34.840200000000003</v>
      </c>
      <c r="N36">
        <v>2177807280.4460359</v>
      </c>
      <c r="O36">
        <v>213897.23929910685</v>
      </c>
      <c r="P36">
        <v>499.21829659539463</v>
      </c>
      <c r="Q36">
        <v>27.932473718541132</v>
      </c>
      <c r="R36">
        <v>1.0279804938772108</v>
      </c>
      <c r="S36">
        <v>2238743403.7223015</v>
      </c>
      <c r="T36">
        <v>219882.18969366781</v>
      </c>
      <c r="U36">
        <v>223.87434037223014</v>
      </c>
      <c r="V36">
        <v>2.1988218969366782E-2</v>
      </c>
    </row>
    <row r="37" spans="1:22" x14ac:dyDescent="0.2">
      <c r="A37" t="s">
        <v>1</v>
      </c>
      <c r="B37">
        <v>686</v>
      </c>
      <c r="C37" t="s">
        <v>6</v>
      </c>
      <c r="D37" t="s">
        <v>12</v>
      </c>
      <c r="E37" s="2">
        <f t="shared" si="0"/>
        <v>45550</v>
      </c>
      <c r="F37" s="3">
        <f t="shared" si="1"/>
        <v>0.34112268518518518</v>
      </c>
      <c r="G37">
        <v>75.3035</v>
      </c>
      <c r="H37">
        <v>153.28933333333333</v>
      </c>
      <c r="I37">
        <v>-153.28933333333333</v>
      </c>
      <c r="J37">
        <v>3846</v>
      </c>
      <c r="K37">
        <v>610.30600000000004</v>
      </c>
      <c r="L37">
        <v>0.71160000000000001</v>
      </c>
      <c r="M37">
        <v>34.854799999999997</v>
      </c>
      <c r="N37">
        <v>1979381202.2377062</v>
      </c>
      <c r="O37">
        <v>195889.64174239937</v>
      </c>
      <c r="P37">
        <v>603.06935273028705</v>
      </c>
      <c r="Q37">
        <v>27.952490678893582</v>
      </c>
      <c r="R37">
        <v>1.028000549524509</v>
      </c>
      <c r="S37">
        <v>2034804963.6188452</v>
      </c>
      <c r="T37">
        <v>201374.65935734575</v>
      </c>
      <c r="U37">
        <v>203.48049636188452</v>
      </c>
      <c r="V37">
        <v>2.0137465935734573E-2</v>
      </c>
    </row>
    <row r="38" spans="1:22" x14ac:dyDescent="0.2">
      <c r="A38" t="s">
        <v>1</v>
      </c>
      <c r="B38">
        <v>685</v>
      </c>
      <c r="C38" t="s">
        <v>6</v>
      </c>
      <c r="D38" t="s">
        <v>12</v>
      </c>
      <c r="E38" s="2">
        <f t="shared" si="0"/>
        <v>45550</v>
      </c>
      <c r="F38" s="3">
        <f t="shared" si="1"/>
        <v>0.34112268518518518</v>
      </c>
      <c r="G38">
        <v>75.3035</v>
      </c>
      <c r="H38">
        <v>153.28933333333333</v>
      </c>
      <c r="I38">
        <v>-153.28933333333333</v>
      </c>
      <c r="J38">
        <v>3846</v>
      </c>
      <c r="K38">
        <v>813.28700000000003</v>
      </c>
      <c r="L38">
        <v>0.36230000000000001</v>
      </c>
      <c r="M38">
        <v>34.866399999999999</v>
      </c>
      <c r="N38">
        <v>1859643622.9272976</v>
      </c>
      <c r="O38">
        <v>192341.96941519048</v>
      </c>
      <c r="P38">
        <v>803.25262196362348</v>
      </c>
      <c r="Q38">
        <v>27.983410000008007</v>
      </c>
      <c r="R38">
        <v>1.0280315757419565</v>
      </c>
      <c r="S38">
        <v>1911772363.9964304</v>
      </c>
      <c r="T38">
        <v>197733.61789920946</v>
      </c>
      <c r="U38">
        <v>191.17723639964305</v>
      </c>
      <c r="V38">
        <v>1.9773361789920948E-2</v>
      </c>
    </row>
    <row r="39" spans="1:22" x14ac:dyDescent="0.2">
      <c r="A39" t="s">
        <v>1</v>
      </c>
      <c r="B39">
        <v>684</v>
      </c>
      <c r="C39" t="s">
        <v>6</v>
      </c>
      <c r="D39" t="s">
        <v>12</v>
      </c>
      <c r="E39" s="2">
        <f t="shared" si="0"/>
        <v>45550</v>
      </c>
      <c r="F39" s="3">
        <f t="shared" si="1"/>
        <v>0.34112268518518518</v>
      </c>
      <c r="G39">
        <v>75.3035</v>
      </c>
      <c r="H39">
        <v>153.28933333333333</v>
      </c>
      <c r="I39">
        <v>-153.28933333333333</v>
      </c>
      <c r="J39">
        <v>3846</v>
      </c>
      <c r="K39">
        <v>1016.456</v>
      </c>
      <c r="L39">
        <v>9.8000000000000004E-2</v>
      </c>
      <c r="M39">
        <v>34.873100000000001</v>
      </c>
      <c r="N39">
        <v>1625715347.5834579</v>
      </c>
      <c r="O39">
        <v>121731.41820874438</v>
      </c>
      <c r="P39">
        <v>1003.4279425404163</v>
      </c>
      <c r="Q39">
        <v>28.004233534303012</v>
      </c>
      <c r="R39">
        <v>1.0280524819115604</v>
      </c>
      <c r="S39">
        <v>1671320697.964889</v>
      </c>
      <c r="T39">
        <v>125146.28661611378</v>
      </c>
      <c r="U39">
        <v>167.13206979648891</v>
      </c>
      <c r="V39">
        <v>1.2514628661611378E-2</v>
      </c>
    </row>
    <row r="40" spans="1:22" x14ac:dyDescent="0.2">
      <c r="A40" t="s">
        <v>1</v>
      </c>
      <c r="B40">
        <v>683</v>
      </c>
      <c r="C40" t="s">
        <v>6</v>
      </c>
      <c r="D40" t="s">
        <v>12</v>
      </c>
      <c r="E40" s="2">
        <f t="shared" si="0"/>
        <v>45550</v>
      </c>
      <c r="F40" s="3">
        <f t="shared" si="1"/>
        <v>0.34112268518518518</v>
      </c>
      <c r="G40">
        <v>75.3035</v>
      </c>
      <c r="H40">
        <v>153.28933333333333</v>
      </c>
      <c r="I40">
        <v>-153.28933333333333</v>
      </c>
      <c r="J40">
        <v>3846</v>
      </c>
      <c r="K40">
        <v>1524.8989999999999</v>
      </c>
      <c r="L40">
        <v>-0.26579999999999998</v>
      </c>
      <c r="M40">
        <v>34.902299999999997</v>
      </c>
      <c r="N40">
        <v>961051632.69553936</v>
      </c>
      <c r="O40">
        <v>51796.728635072235</v>
      </c>
      <c r="P40">
        <v>1503.5392048206859</v>
      </c>
      <c r="Q40">
        <v>28.048552746306086</v>
      </c>
      <c r="R40">
        <v>1.0280969183231623</v>
      </c>
      <c r="S40">
        <v>988054221.92372775</v>
      </c>
      <c r="T40">
        <v>53252.057088938862</v>
      </c>
      <c r="U40">
        <v>98.805422192372774</v>
      </c>
      <c r="V40">
        <v>5.3252057088938858E-3</v>
      </c>
    </row>
    <row r="41" spans="1:22" x14ac:dyDescent="0.2">
      <c r="A41" t="s">
        <v>1</v>
      </c>
      <c r="B41">
        <v>682</v>
      </c>
      <c r="C41" t="s">
        <v>6</v>
      </c>
      <c r="D41" t="s">
        <v>12</v>
      </c>
      <c r="E41" s="2">
        <f t="shared" si="0"/>
        <v>45550</v>
      </c>
      <c r="F41" s="3">
        <f t="shared" si="1"/>
        <v>0.34112268518518518</v>
      </c>
      <c r="G41">
        <v>75.3035</v>
      </c>
      <c r="H41">
        <v>153.28933333333333</v>
      </c>
      <c r="I41">
        <v>-153.28933333333333</v>
      </c>
      <c r="J41">
        <v>3846</v>
      </c>
      <c r="K41">
        <v>2034.2750000000001</v>
      </c>
      <c r="L41">
        <v>-0.39400000000000002</v>
      </c>
      <c r="M41">
        <v>34.9345</v>
      </c>
      <c r="N41">
        <v>107615750.63240652</v>
      </c>
      <c r="O41">
        <v>643.30346509659626</v>
      </c>
      <c r="P41">
        <v>2003.3797506172434</v>
      </c>
      <c r="Q41">
        <v>28.082609819155095</v>
      </c>
      <c r="R41">
        <v>1.028131021895875</v>
      </c>
      <c r="S41">
        <v>110643091.66978776</v>
      </c>
      <c r="T41">
        <v>661.40024895892088</v>
      </c>
      <c r="U41">
        <v>11.064309166978777</v>
      </c>
      <c r="V41">
        <v>6.6140024895892084E-5</v>
      </c>
    </row>
    <row r="42" spans="1:22" x14ac:dyDescent="0.2">
      <c r="A42" t="s">
        <v>1</v>
      </c>
      <c r="B42">
        <v>679</v>
      </c>
      <c r="C42" t="s">
        <v>6</v>
      </c>
      <c r="D42" t="s">
        <v>12</v>
      </c>
      <c r="E42" s="2">
        <f t="shared" si="0"/>
        <v>45550</v>
      </c>
      <c r="F42" s="3">
        <f t="shared" si="1"/>
        <v>0.34112268518518518</v>
      </c>
      <c r="G42">
        <v>75.3035</v>
      </c>
      <c r="H42">
        <v>153.28933333333333</v>
      </c>
      <c r="I42">
        <v>-153.28933333333333</v>
      </c>
      <c r="J42">
        <v>3846</v>
      </c>
      <c r="K42">
        <v>3817.0909999999999</v>
      </c>
      <c r="L42">
        <v>-0.25240000000000001</v>
      </c>
      <c r="M42">
        <v>34.953800000000001</v>
      </c>
      <c r="N42">
        <v>785737.37869442336</v>
      </c>
      <c r="O42">
        <v>0.16497236172300028</v>
      </c>
      <c r="P42">
        <v>3743.7199358439875</v>
      </c>
      <c r="Q42">
        <v>28.099119552663979</v>
      </c>
      <c r="R42">
        <v>1.0281475325365477</v>
      </c>
      <c r="S42">
        <v>807853.94712640636</v>
      </c>
      <c r="T42">
        <v>0.16961592664222955</v>
      </c>
      <c r="U42">
        <v>8.0785394712640637E-2</v>
      </c>
      <c r="V42">
        <v>1.6961592664222954E-8</v>
      </c>
    </row>
    <row r="43" spans="1:22" x14ac:dyDescent="0.2">
      <c r="A43" t="s">
        <v>1</v>
      </c>
      <c r="B43">
        <v>905</v>
      </c>
      <c r="C43" t="s">
        <v>7</v>
      </c>
      <c r="D43" t="s">
        <v>13</v>
      </c>
      <c r="E43" s="2">
        <f t="shared" si="0"/>
        <v>45553</v>
      </c>
      <c r="F43" s="3">
        <f t="shared" si="1"/>
        <v>0.53476851851851848</v>
      </c>
      <c r="G43">
        <v>72.600666666666669</v>
      </c>
      <c r="H43">
        <v>144.697</v>
      </c>
      <c r="I43">
        <v>-144.697</v>
      </c>
      <c r="J43">
        <v>3437</v>
      </c>
      <c r="K43">
        <v>5.5019999999999998</v>
      </c>
      <c r="L43">
        <v>2.3719000000000001</v>
      </c>
      <c r="M43">
        <v>25.1906</v>
      </c>
      <c r="N43">
        <v>156163124.77589914</v>
      </c>
      <c r="O43">
        <v>1326.7544729213309</v>
      </c>
      <c r="P43">
        <v>5.4454284602533747</v>
      </c>
      <c r="Q43">
        <v>20.104223002311983</v>
      </c>
      <c r="R43">
        <v>1.0201526206526079</v>
      </c>
      <c r="S43">
        <v>159310220.98943371</v>
      </c>
      <c r="T43">
        <v>1353.4920525132652</v>
      </c>
      <c r="U43">
        <v>15.931022098943371</v>
      </c>
      <c r="V43">
        <v>1.3534920525132651E-4</v>
      </c>
    </row>
    <row r="44" spans="1:22" x14ac:dyDescent="0.2">
      <c r="A44" t="s">
        <v>1</v>
      </c>
      <c r="B44">
        <v>901</v>
      </c>
      <c r="C44" t="s">
        <v>7</v>
      </c>
      <c r="D44" t="s">
        <v>13</v>
      </c>
      <c r="E44" s="2">
        <f t="shared" si="0"/>
        <v>45553</v>
      </c>
      <c r="F44" s="3">
        <f t="shared" si="1"/>
        <v>0.53476851851851848</v>
      </c>
      <c r="G44">
        <v>72.600666666666669</v>
      </c>
      <c r="H44">
        <v>144.697</v>
      </c>
      <c r="I44">
        <v>-144.697</v>
      </c>
      <c r="J44">
        <v>3437</v>
      </c>
      <c r="K44">
        <v>94.804000000000002</v>
      </c>
      <c r="L44">
        <v>-0.54320000000000002</v>
      </c>
      <c r="M44">
        <v>31.8675</v>
      </c>
      <c r="N44">
        <v>80540652.24182494</v>
      </c>
      <c r="O44">
        <v>392.82908590297882</v>
      </c>
      <c r="P44">
        <v>93.808900847092744</v>
      </c>
      <c r="Q44">
        <v>25.606087837371433</v>
      </c>
      <c r="R44">
        <v>1.0256547927292732</v>
      </c>
      <c r="S44">
        <v>82606905.981369436</v>
      </c>
      <c r="T44">
        <v>402.90703467984957</v>
      </c>
      <c r="U44">
        <v>8.260690598136943</v>
      </c>
      <c r="V44">
        <v>4.0290703467984956E-5</v>
      </c>
    </row>
    <row r="45" spans="1:22" x14ac:dyDescent="0.2">
      <c r="A45" t="s">
        <v>1</v>
      </c>
      <c r="B45">
        <v>900</v>
      </c>
      <c r="C45" t="s">
        <v>7</v>
      </c>
      <c r="D45" t="s">
        <v>13</v>
      </c>
      <c r="E45" s="2">
        <f t="shared" si="0"/>
        <v>45553</v>
      </c>
      <c r="F45" s="3">
        <f t="shared" si="1"/>
        <v>0.53476851851851848</v>
      </c>
      <c r="G45">
        <v>72.600666666666669</v>
      </c>
      <c r="H45">
        <v>144.697</v>
      </c>
      <c r="I45">
        <v>-144.697</v>
      </c>
      <c r="J45">
        <v>3437</v>
      </c>
      <c r="K45">
        <v>129.08099999999999</v>
      </c>
      <c r="L45">
        <v>-1.1654</v>
      </c>
      <c r="M45">
        <v>32.291499999999999</v>
      </c>
      <c r="N45">
        <v>92721980.087751061</v>
      </c>
      <c r="O45">
        <v>454.97430709160261</v>
      </c>
      <c r="P45">
        <v>127.71550784661305</v>
      </c>
      <c r="Q45">
        <v>25.971694977318066</v>
      </c>
      <c r="R45">
        <v>1.0260205606117612</v>
      </c>
      <c r="S45">
        <v>95134657.990666896</v>
      </c>
      <c r="T45">
        <v>466.81299362607371</v>
      </c>
      <c r="U45">
        <v>9.5134657990666902</v>
      </c>
      <c r="V45">
        <v>4.6681299362607372E-5</v>
      </c>
    </row>
    <row r="46" spans="1:22" x14ac:dyDescent="0.2">
      <c r="A46" t="s">
        <v>1</v>
      </c>
      <c r="B46">
        <v>897</v>
      </c>
      <c r="C46" t="s">
        <v>7</v>
      </c>
      <c r="D46" t="s">
        <v>13</v>
      </c>
      <c r="E46" s="2">
        <f t="shared" si="0"/>
        <v>45553</v>
      </c>
      <c r="F46" s="3">
        <f t="shared" si="1"/>
        <v>0.53476851851851848</v>
      </c>
      <c r="G46">
        <v>72.600666666666669</v>
      </c>
      <c r="H46">
        <v>144.697</v>
      </c>
      <c r="I46">
        <v>-144.697</v>
      </c>
      <c r="J46">
        <v>3437</v>
      </c>
      <c r="K46">
        <v>207.59299999999999</v>
      </c>
      <c r="L46">
        <v>-1.4266000000000001</v>
      </c>
      <c r="M46">
        <v>33.088000000000001</v>
      </c>
      <c r="N46">
        <v>282697279.51142883</v>
      </c>
      <c r="O46">
        <v>4626.4403956991509</v>
      </c>
      <c r="P46">
        <v>205.35793029188903</v>
      </c>
      <c r="Q46">
        <v>26.623996688813122</v>
      </c>
      <c r="R46">
        <v>1.0266728744565978</v>
      </c>
      <c r="S46">
        <v>290237628.55705893</v>
      </c>
      <c r="T46">
        <v>4749.840859554567</v>
      </c>
      <c r="U46">
        <v>29.023762855705893</v>
      </c>
      <c r="V46">
        <v>4.7498408595545669E-4</v>
      </c>
    </row>
    <row r="47" spans="1:22" x14ac:dyDescent="0.2">
      <c r="A47" t="s">
        <v>1</v>
      </c>
      <c r="B47">
        <v>896</v>
      </c>
      <c r="C47" t="s">
        <v>7</v>
      </c>
      <c r="D47" t="s">
        <v>13</v>
      </c>
      <c r="E47" s="2">
        <f t="shared" si="0"/>
        <v>45553</v>
      </c>
      <c r="F47" s="3">
        <f t="shared" si="1"/>
        <v>0.53476851851851848</v>
      </c>
      <c r="G47">
        <v>72.600666666666669</v>
      </c>
      <c r="H47">
        <v>144.697</v>
      </c>
      <c r="I47">
        <v>-144.697</v>
      </c>
      <c r="J47">
        <v>3437</v>
      </c>
      <c r="K47">
        <v>238.69399999999999</v>
      </c>
      <c r="L47">
        <v>-1.0558000000000001</v>
      </c>
      <c r="M47">
        <v>33.671999999999997</v>
      </c>
      <c r="N47">
        <v>1033595050.7642064</v>
      </c>
      <c r="O47">
        <v>58910.12280002013</v>
      </c>
      <c r="P47">
        <v>236.10631979725781</v>
      </c>
      <c r="Q47">
        <v>27.085139648385848</v>
      </c>
      <c r="R47">
        <v>1.0271338448971212</v>
      </c>
      <c r="S47">
        <v>1061640458.5580745</v>
      </c>
      <c r="T47">
        <v>60508.580934946243</v>
      </c>
      <c r="U47">
        <v>106.16404585580744</v>
      </c>
      <c r="V47">
        <v>6.0508580934946245E-3</v>
      </c>
    </row>
    <row r="48" spans="1:22" x14ac:dyDescent="0.2">
      <c r="A48" t="s">
        <v>1</v>
      </c>
      <c r="B48">
        <v>895</v>
      </c>
      <c r="C48" t="s">
        <v>7</v>
      </c>
      <c r="D48" t="s">
        <v>13</v>
      </c>
      <c r="E48" s="2">
        <f t="shared" si="0"/>
        <v>45553</v>
      </c>
      <c r="F48" s="3">
        <f t="shared" si="1"/>
        <v>0.53476851851851848</v>
      </c>
      <c r="G48">
        <v>72.600666666666669</v>
      </c>
      <c r="H48">
        <v>144.697</v>
      </c>
      <c r="I48">
        <v>-144.697</v>
      </c>
      <c r="J48">
        <v>3437</v>
      </c>
      <c r="K48">
        <v>264.82499999999999</v>
      </c>
      <c r="L48">
        <v>-0.57110000000000005</v>
      </c>
      <c r="M48">
        <v>34.176200000000001</v>
      </c>
      <c r="N48">
        <v>1866214059.5505865</v>
      </c>
      <c r="O48">
        <v>200028.30874206967</v>
      </c>
      <c r="P48">
        <v>261.93748931105591</v>
      </c>
      <c r="Q48">
        <v>27.473685301703654</v>
      </c>
      <c r="R48">
        <v>1.0275221918469974</v>
      </c>
      <c r="S48">
        <v>1917576360.9251015</v>
      </c>
      <c r="T48">
        <v>205533.52623009935</v>
      </c>
      <c r="U48">
        <v>191.75763609251015</v>
      </c>
      <c r="V48">
        <v>2.0553352623009936E-2</v>
      </c>
    </row>
    <row r="49" spans="1:22" x14ac:dyDescent="0.2">
      <c r="A49" t="s">
        <v>1</v>
      </c>
      <c r="B49">
        <v>892</v>
      </c>
      <c r="C49" t="s">
        <v>7</v>
      </c>
      <c r="D49" t="s">
        <v>13</v>
      </c>
      <c r="E49" s="2">
        <f t="shared" si="0"/>
        <v>45553</v>
      </c>
      <c r="F49" s="3">
        <f t="shared" si="1"/>
        <v>0.53476851851851848</v>
      </c>
      <c r="G49">
        <v>72.600666666666669</v>
      </c>
      <c r="H49">
        <v>144.697</v>
      </c>
      <c r="I49">
        <v>-144.697</v>
      </c>
      <c r="J49">
        <v>3437</v>
      </c>
      <c r="K49">
        <v>360.56099999999998</v>
      </c>
      <c r="L49">
        <v>0.46229999999999999</v>
      </c>
      <c r="M49">
        <v>34.723999999999997</v>
      </c>
      <c r="N49">
        <v>1708565700.3560612</v>
      </c>
      <c r="O49">
        <v>144742.33567182164</v>
      </c>
      <c r="P49">
        <v>356.54721211995871</v>
      </c>
      <c r="Q49">
        <v>27.862338394463222</v>
      </c>
      <c r="R49">
        <v>1.0279104797499563</v>
      </c>
      <c r="S49">
        <v>1756252588.737319</v>
      </c>
      <c r="T49">
        <v>148782.16370055141</v>
      </c>
      <c r="U49">
        <v>175.62525887373189</v>
      </c>
      <c r="V49">
        <v>1.4878216370055141E-2</v>
      </c>
    </row>
    <row r="50" spans="1:22" x14ac:dyDescent="0.2">
      <c r="A50" t="s">
        <v>1</v>
      </c>
      <c r="B50">
        <v>890</v>
      </c>
      <c r="C50" t="s">
        <v>7</v>
      </c>
      <c r="D50" t="s">
        <v>13</v>
      </c>
      <c r="E50" s="2">
        <f t="shared" si="0"/>
        <v>45553</v>
      </c>
      <c r="F50" s="3">
        <f t="shared" si="1"/>
        <v>0.53476851851851848</v>
      </c>
      <c r="G50">
        <v>72.600666666666669</v>
      </c>
      <c r="H50">
        <v>144.697</v>
      </c>
      <c r="I50">
        <v>-144.697</v>
      </c>
      <c r="J50">
        <v>3437</v>
      </c>
      <c r="K50">
        <v>486.15300000000002</v>
      </c>
      <c r="L50">
        <v>0.75629999999999997</v>
      </c>
      <c r="M50">
        <v>34.828499999999998</v>
      </c>
      <c r="N50">
        <v>1380898447.5948961</v>
      </c>
      <c r="O50">
        <v>90302.090502982173</v>
      </c>
      <c r="P50">
        <v>480.59565519957005</v>
      </c>
      <c r="Q50">
        <v>27.928411683774812</v>
      </c>
      <c r="R50">
        <v>1.027976457574439</v>
      </c>
      <c r="S50">
        <v>1419531094.4286435</v>
      </c>
      <c r="T50">
        <v>92828.423106822011</v>
      </c>
      <c r="U50">
        <v>141.95310944286436</v>
      </c>
      <c r="V50">
        <v>9.2828423106822017E-3</v>
      </c>
    </row>
    <row r="51" spans="1:22" x14ac:dyDescent="0.2">
      <c r="A51" t="s">
        <v>1</v>
      </c>
      <c r="B51">
        <v>888</v>
      </c>
      <c r="C51" t="s">
        <v>7</v>
      </c>
      <c r="D51" t="s">
        <v>13</v>
      </c>
      <c r="E51" s="2">
        <f t="shared" si="0"/>
        <v>45553</v>
      </c>
      <c r="F51" s="3">
        <f t="shared" si="1"/>
        <v>0.53476851851851848</v>
      </c>
      <c r="G51">
        <v>72.600666666666669</v>
      </c>
      <c r="H51">
        <v>144.697</v>
      </c>
      <c r="I51">
        <v>-144.697</v>
      </c>
      <c r="J51">
        <v>3437</v>
      </c>
      <c r="K51">
        <v>610.35799999999995</v>
      </c>
      <c r="L51">
        <v>0.63519999999999999</v>
      </c>
      <c r="M51">
        <v>34.850499999999997</v>
      </c>
      <c r="N51">
        <v>1550302454.019196</v>
      </c>
      <c r="O51">
        <v>116014.19282165507</v>
      </c>
      <c r="P51">
        <v>603.20069338585142</v>
      </c>
      <c r="Q51">
        <v>27.953766626974812</v>
      </c>
      <c r="R51">
        <v>1.0280018486640705</v>
      </c>
      <c r="S51">
        <v>1593713788.7201786</v>
      </c>
      <c r="T51">
        <v>119262.80469193135</v>
      </c>
      <c r="U51">
        <v>159.37137887201786</v>
      </c>
      <c r="V51">
        <v>1.1926280469193135E-2</v>
      </c>
    </row>
    <row r="52" spans="1:22" x14ac:dyDescent="0.2">
      <c r="A52" t="s">
        <v>1</v>
      </c>
      <c r="B52">
        <v>887</v>
      </c>
      <c r="C52" t="s">
        <v>7</v>
      </c>
      <c r="D52" t="s">
        <v>13</v>
      </c>
      <c r="E52" s="2">
        <f t="shared" si="0"/>
        <v>45553</v>
      </c>
      <c r="F52" s="3">
        <f t="shared" si="1"/>
        <v>0.53476851851851848</v>
      </c>
      <c r="G52">
        <v>72.600666666666669</v>
      </c>
      <c r="H52">
        <v>144.697</v>
      </c>
      <c r="I52">
        <v>-144.697</v>
      </c>
      <c r="J52">
        <v>3437</v>
      </c>
      <c r="K52">
        <v>813.16300000000001</v>
      </c>
      <c r="L52">
        <v>0.29830000000000001</v>
      </c>
      <c r="M52">
        <v>34.863500000000002</v>
      </c>
      <c r="N52">
        <v>1494754551.7854834</v>
      </c>
      <c r="O52">
        <v>123035.67916460194</v>
      </c>
      <c r="P52">
        <v>803.23696106641478</v>
      </c>
      <c r="Q52">
        <v>27.984747981422288</v>
      </c>
      <c r="R52">
        <v>1.0280329332782143</v>
      </c>
      <c r="S52">
        <v>1536656906.402993</v>
      </c>
      <c r="T52">
        <v>126484.73014946301</v>
      </c>
      <c r="U52">
        <v>153.66569064029929</v>
      </c>
      <c r="V52">
        <v>1.2648473014946301E-2</v>
      </c>
    </row>
    <row r="53" spans="1:22" x14ac:dyDescent="0.2">
      <c r="A53" t="s">
        <v>1</v>
      </c>
      <c r="B53">
        <v>886</v>
      </c>
      <c r="C53" t="s">
        <v>7</v>
      </c>
      <c r="D53" t="s">
        <v>13</v>
      </c>
      <c r="E53" s="2">
        <f t="shared" si="0"/>
        <v>45553</v>
      </c>
      <c r="F53" s="3">
        <f t="shared" si="1"/>
        <v>0.53476851851851848</v>
      </c>
      <c r="G53">
        <v>72.600666666666669</v>
      </c>
      <c r="H53">
        <v>144.697</v>
      </c>
      <c r="I53">
        <v>-144.697</v>
      </c>
      <c r="J53">
        <v>3437</v>
      </c>
      <c r="K53">
        <v>1015.98</v>
      </c>
      <c r="L53">
        <v>6.0499999999999998E-2</v>
      </c>
      <c r="M53">
        <v>34.873800000000003</v>
      </c>
      <c r="N53">
        <v>1053503671.2735358</v>
      </c>
      <c r="O53">
        <v>58288.261644540886</v>
      </c>
      <c r="P53">
        <v>1003.0922655783174</v>
      </c>
      <c r="Q53">
        <v>28.00684792419429</v>
      </c>
      <c r="R53">
        <v>1.0280551076161515</v>
      </c>
      <c r="S53">
        <v>1083059830.1451256</v>
      </c>
      <c r="T53">
        <v>59923.545097736875</v>
      </c>
      <c r="U53">
        <v>108.30598301451256</v>
      </c>
      <c r="V53">
        <v>5.9923545097736878E-3</v>
      </c>
    </row>
    <row r="54" spans="1:22" x14ac:dyDescent="0.2">
      <c r="A54" t="s">
        <v>1</v>
      </c>
      <c r="B54">
        <v>885</v>
      </c>
      <c r="C54" t="s">
        <v>7</v>
      </c>
      <c r="D54" t="s">
        <v>13</v>
      </c>
      <c r="E54" s="2">
        <f t="shared" si="0"/>
        <v>45553</v>
      </c>
      <c r="F54" s="3">
        <f t="shared" si="1"/>
        <v>0.53476851851851848</v>
      </c>
      <c r="G54">
        <v>72.600666666666669</v>
      </c>
      <c r="H54">
        <v>144.697</v>
      </c>
      <c r="I54">
        <v>-144.697</v>
      </c>
      <c r="J54">
        <v>3437</v>
      </c>
      <c r="K54">
        <v>1524.097</v>
      </c>
      <c r="L54">
        <v>-0.29380000000000001</v>
      </c>
      <c r="M54">
        <v>34.905900000000003</v>
      </c>
      <c r="N54">
        <v>528249188.68423951</v>
      </c>
      <c r="O54">
        <v>15651.416998374842</v>
      </c>
      <c r="P54">
        <v>1502.950676105728</v>
      </c>
      <c r="Q54">
        <v>28.052853411591514</v>
      </c>
      <c r="R54">
        <v>1.0281012272254288</v>
      </c>
      <c r="S54">
        <v>543093639.16710377</v>
      </c>
      <c r="T54">
        <v>16091.241023846113</v>
      </c>
      <c r="U54">
        <v>54.309363916710375</v>
      </c>
      <c r="V54">
        <v>1.6091241023846112E-3</v>
      </c>
    </row>
    <row r="55" spans="1:22" x14ac:dyDescent="0.2">
      <c r="A55" t="s">
        <v>1</v>
      </c>
      <c r="B55">
        <v>884</v>
      </c>
      <c r="C55" t="s">
        <v>7</v>
      </c>
      <c r="D55" t="s">
        <v>13</v>
      </c>
      <c r="E55" s="2">
        <f t="shared" si="0"/>
        <v>45553</v>
      </c>
      <c r="F55" s="3">
        <f t="shared" si="1"/>
        <v>0.53476851851851848</v>
      </c>
      <c r="G55">
        <v>72.600666666666669</v>
      </c>
      <c r="H55">
        <v>144.697</v>
      </c>
      <c r="I55">
        <v>-144.697</v>
      </c>
      <c r="J55">
        <v>3437</v>
      </c>
      <c r="K55">
        <v>2033.672</v>
      </c>
      <c r="L55">
        <v>-0.39979999999999999</v>
      </c>
      <c r="M55">
        <v>34.936599999999999</v>
      </c>
      <c r="N55">
        <v>66499053.135370269</v>
      </c>
      <c r="O55">
        <v>290.5085146149778</v>
      </c>
      <c r="P55">
        <v>2003.0544574659718</v>
      </c>
      <c r="Q55">
        <v>28.084543432576311</v>
      </c>
      <c r="R55">
        <v>1.0281329570911593</v>
      </c>
      <c r="S55">
        <v>68369868.143830359</v>
      </c>
      <c r="T55">
        <v>298.68137819125741</v>
      </c>
      <c r="U55">
        <v>6.8369868143830361</v>
      </c>
      <c r="V55">
        <v>2.986813781912574E-5</v>
      </c>
    </row>
  </sheetData>
  <sortState xmlns:xlrd2="http://schemas.microsoft.com/office/spreadsheetml/2017/richdata2" ref="A2:S56">
    <sortCondition ref="C2:C56"/>
    <sortCondition ref="O2:O5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Payne  Annabel</cp:lastModifiedBy>
  <dcterms:modified xsi:type="dcterms:W3CDTF">2026-03-03T14:12:00Z</dcterms:modified>
</cp:coreProperties>
</file>